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00626ad3ae45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 diario" sheetId="1" r:id="R7780223e120446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dd/mm/yyyy hh:mm"/>
    <x:numFmt numFmtId="202" formatCode="&quot;$&quot;#,##0.00"/>
  </x:numFmts>
  <x:fonts count="9">
    <x:font>
      <x:sz val="11"/>
      <x:name val="Carlito"/>
    </x:font>
    <x:font>
      <x:b/>
      <x:sz val="18"/>
      <x:color rgb="FF0F172A"/>
      <x:name val="Aptos Display"/>
    </x:font>
    <x:font>
      <x:i/>
      <x:sz val="10"/>
      <x:color rgb="FF64748B"/>
      <x:name val="Aptos"/>
    </x:font>
    <x:font>
      <x:b/>
      <x:sz val="10"/>
      <x:color rgb="FFC2410C"/>
      <x:name val="Aptos"/>
    </x:font>
    <x:font>
      <x:b/>
      <x:sz val="11"/>
      <x:color rgb="FF0F172A"/>
      <x:name val="Carlito"/>
    </x:font>
    <x:font>
      <x:b/>
      <x:sz val="11"/>
      <x:color rgb="FF1E3A8A"/>
      <x:name val="Carlito"/>
    </x:font>
    <x:font>
      <x:b/>
      <x:sz val="10"/>
      <x:color rgb="FFFFFFFF"/>
      <x:name val="Aptos"/>
    </x:font>
    <x:font>
      <x:sz val="10"/>
      <x:color rgb="FF0F172A"/>
      <x:name val="Aptos"/>
    </x:font>
    <x:font>
      <x:b/>
      <x:sz val="10"/>
      <x:color rgb="FF0F172A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F7ED"/>
      </x:patternFill>
    </x:fill>
    <x:fill>
      <x:patternFill patternType="solid">
        <x:fgColor rgb="FFEFF6FF"/>
      </x:patternFill>
    </x:fill>
    <x:fill>
      <x:patternFill patternType="solid">
        <x:fgColor rgb="FFF8FAFC"/>
      </x:patternFill>
    </x:fill>
    <x:fill>
      <x:patternFill patternType="solid">
        <x:fgColor rgb="FF1E293B"/>
      </x:patternFill>
    </x:fill>
    <x:fill>
      <x:patternFill patternType="solid">
        <x:fgColor rgb="FFD9E5F3"/>
      </x:patternFill>
    </x:fill>
  </x:fills>
  <x:borders count="9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64748B"/>
      </x:left>
      <x:right style="thin">
        <x:color rgb="FF64748B"/>
      </x:right>
      <x:top style="thin">
        <x:color rgb="FF64748B"/>
      </x:top>
      <x:bottom style="thin">
        <x:color rgb="FF64748B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0" borderId="1" xfId="0" applyNumberFormat="1" applyFont="1" applyFill="1" applyBorder="1"/>
    <x:xf numFmtId="0" fontId="0" fillId="0" borderId="2" xfId="0" applyNumberFormat="1" applyFont="1" applyFill="1" applyBorder="1"/>
    <x:xf numFmtId="0" fontId="4" fillId="0" borderId="3" xfId="0" applyNumberFormat="1" applyFont="1" applyFill="1" applyBorder="1"/>
    <x:xf numFmtId="0" fontId="0" fillId="0" borderId="4" xfId="0" applyNumberFormat="1" applyFont="1" applyFill="1" applyBorder="1"/>
    <x:xf numFmtId="0" fontId="4" fillId="0" borderId="5" xfId="0" applyNumberFormat="1" applyFont="1" applyFill="1" applyBorder="1"/>
    <x:xf numFmtId="0" fontId="0" fillId="0" borderId="6" xfId="0" applyNumberFormat="1" applyFont="1" applyFill="1" applyBorder="1"/>
    <x:xf numFmtId="0" fontId="5" fillId="4" borderId="7" xfId="0" applyNumberFormat="1" applyFont="1" applyFill="1" applyBorder="1"/>
    <x:xf numFmtId="0" fontId="4" fillId="5" borderId="7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8" xfId="0" applyNumberFormat="1" applyFont="1" applyFill="1" applyBorder="1"/>
    <x:xf numFmtId="0" fontId="6" fillId="6" borderId="8" xfId="0" applyNumberFormat="1" applyFont="1" applyFill="1" applyBorder="1" applyAlignment="1">
      <x:alignment wrapText="1"/>
    </x:xf>
    <x:xf numFmtId="0" fontId="6" fillId="6" borderId="8" xfId="0" applyNumberFormat="1" applyFont="1" applyFill="1" applyBorder="1" applyAlignment="1">
      <x:alignment horizontal="center" wrapText="1"/>
    </x:xf>
    <x:xf numFmtId="0" fontId="6" fillId="6" borderId="8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7" xfId="0" applyNumberFormat="1" applyFont="1" applyFill="1" applyBorder="1"/>
    <x:xf numFmtId="0" fontId="7" fillId="0" borderId="7" xfId="0" applyNumberFormat="1" applyFont="1" applyFill="1" applyBorder="1" applyAlignment="1">
      <x:alignment vertical="center"/>
    </x:xf>
    <x:xf numFmtId="0" fontId="7" fillId="7" borderId="7" xfId="0" applyNumberFormat="1" applyFont="1" applyFill="1" applyBorder="1" applyAlignment="1">
      <x:alignment vertical="center"/>
    </x:xf>
    <x:xf numFmtId="0" fontId="8" fillId="7" borderId="7" xfId="0" applyNumberFormat="1" applyFont="1" applyFill="1" applyBorder="1" applyAlignment="1">
      <x:alignment vertical="center"/>
    </x:xf>
    <x:xf numFmtId="0" fontId="8" fillId="7" borderId="8" xfId="0" applyNumberFormat="1" applyFont="1" applyFill="1" applyBorder="1" applyAlignment="1">
      <x:alignment vertical="center"/>
    </x:xf>
    <x:xf numFmtId="0" fontId="8" fillId="7" borderId="8" xfId="0" applyNumberFormat="1" applyFont="1" applyFill="1" applyBorder="1" applyAlignment="1">
      <x:alignment horizontal="left" vertical="center"/>
    </x:xf>
    <x:xf numFmtId="0" fontId="8" fillId="7" borderId="8" xfId="0" applyNumberFormat="1" applyFont="1" applyFill="1" applyBorder="1" applyAlignment="1">
      <x:alignment horizontal="center" vertical="center"/>
    </x:xf>
    <x:xf numFmtId="0" fontId="7" fillId="0" borderId="7" xfId="0" applyNumberFormat="1" applyFont="1" applyFill="1" applyBorder="1" applyAlignment="1">
      <x:alignment horizontal="center" vertical="center"/>
    </x:xf>
    <x:xf numFmtId="200" fontId="8" fillId="7" borderId="8" xfId="0" applyNumberFormat="1" applyFont="1" applyFill="1" applyBorder="1" applyAlignment="1">
      <x:alignment horizontal="left" vertical="center"/>
    </x:xf>
    <x:xf numFmtId="200" fontId="7" fillId="0" borderId="7" xfId="0" applyNumberFormat="1" applyFont="1" applyFill="1" applyBorder="1" applyAlignment="1">
      <x:alignment vertical="center"/>
    </x:xf>
    <x:xf numFmtId="200" fontId="8" fillId="7" borderId="8" xfId="0" applyNumberFormat="1" applyFont="1" applyFill="1" applyBorder="1" applyAlignment="1">
      <x:alignment vertical="center"/>
    </x:xf>
    <x:xf numFmtId="201" fontId="0" fillId="0" borderId="6" xfId="0" applyNumberFormat="1" applyFont="1" applyFill="1" applyBorder="1"/>
    <x:xf numFmtId="202" fontId="8" fillId="7" borderId="8" xfId="0" applyNumberFormat="1" applyFont="1" applyFill="1" applyBorder="1" applyAlignment="1">
      <x:alignment vertical="center"/>
    </x:xf>
    <x:xf numFmtId="202" fontId="7" fillId="0" borderId="7" xfId="0" applyNumberFormat="1" applyFont="1" applyFill="1" applyBorder="1" applyAlignment="1">
      <x:alignment vertical="center"/>
    </x:xf>
    <x:xf numFmtId="202" fontId="4" fillId="5" borderId="7" xfId="0" applyNumberFormat="1" applyFont="1" applyFill="1" applyBorder="1"/>
    <x:xf numFmtId="0" fontId="8" fillId="7" borderId="8" xfId="0" applyNumberFormat="1" applyFont="1" applyFill="1" applyBorder="1" applyAlignment="1">
      <x:alignment horizontal="left" vertical="center" wrapText="1"/>
    </x:xf>
    <x:xf numFmtId="0" fontId="8" fillId="7" borderId="8" xfId="0" applyNumberFormat="1" applyFont="1" applyFill="1" applyBorder="1" applyAlignment="1">
      <x:alignment vertical="center" wrapText="1"/>
    </x:xf>
    <x:xf numFmtId="0" fontId="7" fillId="0" borderId="7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2f7f5406a84629" /><Relationship Type="http://schemas.openxmlformats.org/officeDocument/2006/relationships/theme" Target="/xl/theme/theme1.xml" Id="Ra5d90f68cffb483f" /><Relationship Type="http://schemas.openxmlformats.org/officeDocument/2006/relationships/sharedStrings" Target="/xl/sharedStrings.xml" Id="R5ddd97c458e945c1" /><Relationship Type="http://schemas.openxmlformats.org/officeDocument/2006/relationships/worksheet" Target="/xl/worksheets/sheet1.xml" Id="R7780223e120446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20" hidden="0" customWidth="1"/>
    <x:col min="4" max="4" width="36" hidden="0" customWidth="1"/>
    <x:col min="5" max="5" width="34" hidden="0" customWidth="1"/>
    <x:col min="6" max="6" width="22" hidden="0" customWidth="1"/>
    <x:col min="7" max="7" width="18" hidden="0" customWidth="1"/>
  </x:cols>
  <x:sheetData>
    <x:row r="1" ht="28" customHeight="1">
      <x:c r="A1" s="4" t="str">
        <x:v>Reporte diario por paciente</x:v>
      </x:c>
      <x:c r="B1" s="4"/>
      <x:c r="C1" s="4"/>
      <x:c r="D1" s="4"/>
      <x:c r="E1" s="4"/>
      <x:c r="F1" s="4"/>
      <x:c r="G1" s="4"/>
    </x:row>
    <x:row r="2">
      <x:c r="A2" s="5" t="str">
        <x:v>Nutriciones conciliables entregadas, agrupadas por día</x:v>
      </x:c>
      <x:c r="B2" s="5"/>
      <x:c r="C2" s="5"/>
      <x:c r="D2" s="5"/>
      <x:c r="E2" s="5"/>
      <x:c r="F2" s="5"/>
      <x:c r="G2" s="5"/>
    </x:row>
    <x:row r="3" ht="22" customHeight="1">
      <x:c r="A3" s="8" t="str">
        <x:v>EJEMPLO CON DATOS FICTICIOS PARA VALIDAR EL ORDENAMIENTO</x:v>
      </x:c>
      <x:c r="B3" s="8"/>
      <x:c r="C3" s="8"/>
      <x:c r="D3" s="8"/>
      <x:c r="E3" s="8"/>
      <x:c r="F3" s="8"/>
      <x:c r="G3" s="8"/>
    </x:row>
    <x:row r="5">
      <x:c r="A5" s="14" t="str">
        <x:v>Hospital</x:v>
      </x:c>
      <x:c r="B5" s="15" t="str">
        <x:v>HOSPITAL DEMOSTRATIVO PRODIFEM</x:v>
      </x:c>
      <x:c r="F5" s="20" t="str">
        <x:v>Total de mezclas</x:v>
      </x:c>
      <x:c r="G5" s="21" t="n">
        <x:f>COUNT(A10:A100)</x:f>
        <x:v>18</x:v>
      </x:c>
    </x:row>
    <x:row r="6">
      <x:c r="A6" s="16" t="str">
        <x:v>Periodo</x:v>
      </x:c>
      <x:c r="B6" s="17" t="str">
        <x:v>01/08/2026 al 08/08/2026</x:v>
      </x:c>
      <x:c r="F6" s="20" t="str">
        <x:v>Costo total</x:v>
      </x:c>
      <x:c r="G6" s="43" t="n">
        <x:f>SUM(G11:G14,G16:G21,G23:G27,G29:G31)</x:f>
        <x:v>55592.95</x:v>
      </x:c>
    </x:row>
    <x:row r="7">
      <x:c r="A7" s="18" t="str">
        <x:v>Fecha de generación</x:v>
      </x:c>
      <x:c r="B7" s="40" t="n">
        <x:v>46254.875</x:v>
      </x:c>
      <x:c r="F7" s="20" t="str">
        <x:v>Criterio de orden</x:v>
      </x:c>
      <x:c r="G7" s="21" t="str">
        <x:v>Fecha/hora ascendente</x:v>
      </x:c>
    </x:row>
    <x:row r="9" ht="32" customHeight="1">
      <x:c r="A9" s="27" t="str">
        <x:v>CANTIDAD POR DÍA</x:v>
      </x:c>
      <x:c r="B9" s="27" t="str">
        <x:v>FECHA</x:v>
      </x:c>
      <x:c r="C9" s="27" t="str">
        <x:v>LOTE</x:v>
      </x:c>
      <x:c r="D9" s="27" t="str">
        <x:v>PACIENTE</x:v>
      </x:c>
      <x:c r="E9" s="27" t="str">
        <x:v>MÉDICO</x:v>
      </x:c>
      <x:c r="F9" s="27" t="str">
        <x:v>FECHA DE NACIMIENTO</x:v>
      </x:c>
      <x:c r="G9" s="27" t="str">
        <x:v>COSTO</x:v>
      </x:c>
    </x:row>
    <x:row r="10" ht="22" customHeight="1">
      <x:c r="A10" s="35"/>
      <x:c r="B10" s="37" t="n">
        <x:v>46235.75</x:v>
      </x:c>
      <x:c r="C10" s="33"/>
      <x:c r="D10" s="44" t="str">
        <x:f>COUNTA(D11:D14)&amp;IF(COUNTA(D11:D14)=1," mezcla"," mezclas")</x:f>
        <x:v>4 mezclas</x:v>
      </x:c>
      <x:c r="E10" s="45"/>
      <x:c r="F10" s="39"/>
      <x:c r="G10" s="41" t="n">
        <x:f>SUM(G11:G14)</x:f>
        <x:v>12536.4</x:v>
      </x:c>
    </x:row>
    <x:row r="11" ht="22" customHeight="1">
      <x:c r="A11" s="36" t="n">
        <x:v>1</x:v>
      </x:c>
      <x:c r="B11" s="38" t="n">
        <x:v>46235.75</x:v>
      </x:c>
      <x:c r="C11" s="30" t="str">
        <x:v>L010826001</x:v>
      </x:c>
      <x:c r="D11" s="46" t="str">
        <x:v>Paciente Ejemplo Uno</x:v>
      </x:c>
      <x:c r="E11" s="46" t="str">
        <x:v>Dra. Elena Vargas</x:v>
      </x:c>
      <x:c r="F11" s="38" t="n">
        <x:v>31822.75</x:v>
      </x:c>
      <x:c r="G11" s="42" t="n">
        <x:v>3520.5</x:v>
      </x:c>
    </x:row>
    <x:row r="12" ht="22" customHeight="1">
      <x:c r="A12" s="36" t="n">
        <x:v>2</x:v>
      </x:c>
      <x:c r="B12" s="38" t="n">
        <x:v>46235.75</x:v>
      </x:c>
      <x:c r="C12" s="30" t="str">
        <x:v>L010826002</x:v>
      </x:c>
      <x:c r="D12" s="46" t="str">
        <x:v>Paciente Ejemplo Dos</x:v>
      </x:c>
      <x:c r="E12" s="46" t="str">
        <x:v>Dra. Elena Vargas</x:v>
      </x:c>
      <x:c r="F12" s="38" t="n">
        <x:v>34920.75</x:v>
      </x:c>
      <x:c r="G12" s="42" t="n">
        <x:v>2190.8</x:v>
      </x:c>
    </x:row>
    <x:row r="13" ht="22" customHeight="1">
      <x:c r="A13" s="36" t="n">
        <x:v>3</x:v>
      </x:c>
      <x:c r="B13" s="38" t="n">
        <x:v>46235.75</x:v>
      </x:c>
      <x:c r="C13" s="30" t="str">
        <x:v>L010826003</x:v>
      </x:c>
      <x:c r="D13" s="46" t="str">
        <x:v>Paciente Ejemplo Tres</x:v>
      </x:c>
      <x:c r="E13" s="46" t="str">
        <x:v>Dr. Roberto Salas</x:v>
      </x:c>
      <x:c r="F13" s="38" t="n">
        <x:v>27341.75</x:v>
      </x:c>
      <x:c r="G13" s="42" t="n">
        <x:v>2840.1</x:v>
      </x:c>
    </x:row>
    <x:row r="14" ht="22" customHeight="1">
      <x:c r="A14" s="36" t="n">
        <x:v>4</x:v>
      </x:c>
      <x:c r="B14" s="38" t="n">
        <x:v>46235.75</x:v>
      </x:c>
      <x:c r="C14" s="30" t="str">
        <x:v>L010826004</x:v>
      </x:c>
      <x:c r="D14" s="46" t="str">
        <x:v>Paciente Ejemplo Cuatro</x:v>
      </x:c>
      <x:c r="E14" s="46" t="str">
        <x:v>Dr. Roberto Salas</x:v>
      </x:c>
      <x:c r="F14" s="38" t="n">
        <x:v>25318.75</x:v>
      </x:c>
      <x:c r="G14" s="42" t="n">
        <x:v>3985</x:v>
      </x:c>
    </x:row>
    <x:row r="15" ht="22" customHeight="1">
      <x:c r="A15" s="35"/>
      <x:c r="B15" s="37" t="n">
        <x:v>46237.75</x:v>
      </x:c>
      <x:c r="C15" s="33"/>
      <x:c r="D15" s="44" t="str">
        <x:f>COUNTA(D16:D21)&amp;IF(COUNTA(D16:D21)=1," mezcla"," mezclas")</x:f>
        <x:v>6 mezclas</x:v>
      </x:c>
      <x:c r="E15" s="45"/>
      <x:c r="F15" s="39"/>
      <x:c r="G15" s="41" t="n">
        <x:f>SUM(G16:G21)</x:f>
        <x:v>18552.699999999997</x:v>
      </x:c>
    </x:row>
    <x:row r="16" ht="22" customHeight="1">
      <x:c r="A16" s="36" t="n">
        <x:v>1</x:v>
      </x:c>
      <x:c r="B16" s="38" t="n">
        <x:v>46237.75</x:v>
      </x:c>
      <x:c r="C16" s="30" t="str">
        <x:v>L030826001</x:v>
      </x:c>
      <x:c r="D16" s="46" t="str">
        <x:v>Paciente Ejemplo Cinco</x:v>
      </x:c>
      <x:c r="E16" s="46" t="str">
        <x:v>Dra. Monica Reyes</x:v>
      </x:c>
      <x:c r="F16" s="38" t="n">
        <x:v>29767.75</x:v>
      </x:c>
      <x:c r="G16" s="42" t="n">
        <x:v>3100</x:v>
      </x:c>
    </x:row>
    <x:row r="17" ht="22" customHeight="1">
      <x:c r="A17" s="36" t="n">
        <x:v>2</x:v>
      </x:c>
      <x:c r="B17" s="38" t="n">
        <x:v>46237.75</x:v>
      </x:c>
      <x:c r="C17" s="30" t="str">
        <x:v>L030826002</x:v>
      </x:c>
      <x:c r="D17" s="46" t="str">
        <x:v>Paciente Ejemplo Seis</x:v>
      </x:c>
      <x:c r="E17" s="46" t="str">
        <x:v>Dra. Monica Reyes</x:v>
      </x:c>
      <x:c r="F17" s="38" t="n">
        <x:v>32275.75</x:v>
      </x:c>
      <x:c r="G17" s="42" t="n">
        <x:v>3760.4</x:v>
      </x:c>
    </x:row>
    <x:row r="18" ht="22" customHeight="1">
      <x:c r="A18" s="36" t="n">
        <x:v>3</x:v>
      </x:c>
      <x:c r="B18" s="38" t="n">
        <x:v>46237.75</x:v>
      </x:c>
      <x:c r="C18" s="30" t="str">
        <x:v>L030826003</x:v>
      </x:c>
      <x:c r="D18" s="46" t="str">
        <x:v>Paciente Ejemplo Siete</x:v>
      </x:c>
      <x:c r="E18" s="46" t="str">
        <x:v>Dr. Carlos Mendez</x:v>
      </x:c>
      <x:c r="F18" s="38" t="n">
        <x:v>33620.75</x:v>
      </x:c>
      <x:c r="G18" s="42" t="n">
        <x:v>2650.9</x:v>
      </x:c>
    </x:row>
    <x:row r="19" ht="22" customHeight="1">
      <x:c r="A19" s="36" t="n">
        <x:v>4</x:v>
      </x:c>
      <x:c r="B19" s="38" t="n">
        <x:v>46237.75</x:v>
      </x:c>
      <x:c r="C19" s="30" t="str">
        <x:v>L030826004</x:v>
      </x:c>
      <x:c r="D19" s="46" t="str">
        <x:v>Paciente Ejemplo Ocho</x:v>
      </x:c>
      <x:c r="E19" s="46" t="str">
        <x:v>Dra. Monica Reyes</x:v>
      </x:c>
      <x:c r="F19" s="38" t="n">
        <x:v>33571.75</x:v>
      </x:c>
      <x:c r="G19" s="42" t="n">
        <x:v>1890.25</x:v>
      </x:c>
    </x:row>
    <x:row r="20" ht="22" customHeight="1">
      <x:c r="A20" s="36" t="n">
        <x:v>5</x:v>
      </x:c>
      <x:c r="B20" s="38" t="n">
        <x:v>46237.75</x:v>
      </x:c>
      <x:c r="C20" s="30" t="str">
        <x:v>L030826005</x:v>
      </x:c>
      <x:c r="D20" s="46" t="str">
        <x:v>Paciente Ejemplo Nueve</x:v>
      </x:c>
      <x:c r="E20" s="46" t="str">
        <x:v>Dr. Carlos Mendez</x:v>
      </x:c>
      <x:c r="F20" s="38" t="n">
        <x:v>31304.75</x:v>
      </x:c>
      <x:c r="G20" s="42" t="n">
        <x:v>2940.8</x:v>
      </x:c>
    </x:row>
    <x:row r="21" ht="22" customHeight="1">
      <x:c r="A21" s="36" t="n">
        <x:v>6</x:v>
      </x:c>
      <x:c r="B21" s="38" t="n">
        <x:v>46237.75</x:v>
      </x:c>
      <x:c r="C21" s="30" t="str">
        <x:v>L030826006</x:v>
      </x:c>
      <x:c r="D21" s="46" t="str">
        <x:v>Paciente Ejemplo Diez</x:v>
      </x:c>
      <x:c r="E21" s="46" t="str">
        <x:v>Dr. Carlos Mendez</x:v>
      </x:c>
      <x:c r="F21" s="38" t="n">
        <x:v>28766.75</x:v>
      </x:c>
      <x:c r="G21" s="42" t="n">
        <x:v>4210.35</x:v>
      </x:c>
    </x:row>
    <x:row r="22" ht="22" customHeight="1">
      <x:c r="A22" s="35"/>
      <x:c r="B22" s="37" t="n">
        <x:v>46239.75</x:v>
      </x:c>
      <x:c r="C22" s="33"/>
      <x:c r="D22" s="44" t="str">
        <x:f>COUNTA(D23:D27)&amp;IF(COUNTA(D23:D27)=1," mezcla"," mezclas")</x:f>
        <x:v>5 mezclas</x:v>
      </x:c>
      <x:c r="E22" s="45"/>
      <x:c r="F22" s="39"/>
      <x:c r="G22" s="41" t="n">
        <x:f>SUM(G23:G27)</x:f>
        <x:v>14917</x:v>
      </x:c>
    </x:row>
    <x:row r="23" ht="22" customHeight="1">
      <x:c r="A23" s="36" t="n">
        <x:v>1</x:v>
      </x:c>
      <x:c r="B23" s="38" t="n">
        <x:v>46239.75</x:v>
      </x:c>
      <x:c r="C23" s="30" t="str">
        <x:v>L050826001</x:v>
      </x:c>
      <x:c r="D23" s="46" t="str">
        <x:v>Paciente Ejemplo Once</x:v>
      </x:c>
      <x:c r="E23" s="46" t="str">
        <x:v>Dra. Sofia Navarro</x:v>
      </x:c>
      <x:c r="F23" s="38" t="n">
        <x:v>33138.75</x:v>
      </x:c>
      <x:c r="G23" s="42" t="n">
        <x:v>1985.75</x:v>
      </x:c>
    </x:row>
    <x:row r="24" ht="22" customHeight="1">
      <x:c r="A24" s="36" t="n">
        <x:v>2</x:v>
      </x:c>
      <x:c r="B24" s="38" t="n">
        <x:v>46239.75</x:v>
      </x:c>
      <x:c r="C24" s="30" t="str">
        <x:v>L050826002</x:v>
      </x:c>
      <x:c r="D24" s="46" t="str">
        <x:v>Paciente Ejemplo Doce</x:v>
      </x:c>
      <x:c r="E24" s="46" t="str">
        <x:v>Dr. Andres Paredes</x:v>
      </x:c>
      <x:c r="F24" s="38" t="n">
        <x:v>30696.75</x:v>
      </x:c>
      <x:c r="G24" s="42" t="n">
        <x:v>2310.6</x:v>
      </x:c>
    </x:row>
    <x:row r="25" ht="22" customHeight="1">
      <x:c r="A25" s="36" t="n">
        <x:v>3</x:v>
      </x:c>
      <x:c r="B25" s="38" t="n">
        <x:v>46239.75</x:v>
      </x:c>
      <x:c r="C25" s="30" t="str">
        <x:v>L050826003</x:v>
      </x:c>
      <x:c r="D25" s="46" t="str">
        <x:v>Paciente Ejemplo Trece</x:v>
      </x:c>
      <x:c r="E25" s="46" t="str">
        <x:v>Dra. Sofia Navarro</x:v>
      </x:c>
      <x:c r="F25" s="38" t="n">
        <x:v>34138.75</x:v>
      </x:c>
      <x:c r="G25" s="42" t="n">
        <x:v>3675.2</x:v>
      </x:c>
    </x:row>
    <x:row r="26" ht="22" customHeight="1">
      <x:c r="A26" s="36" t="n">
        <x:v>4</x:v>
      </x:c>
      <x:c r="B26" s="38" t="n">
        <x:v>46239.75</x:v>
      </x:c>
      <x:c r="C26" s="30" t="str">
        <x:v>L050826004</x:v>
      </x:c>
      <x:c r="D26" s="46" t="str">
        <x:v>Paciente Ejemplo Catorce</x:v>
      </x:c>
      <x:c r="E26" s="46" t="str">
        <x:v>Dra. Sofia Navarro</x:v>
      </x:c>
      <x:c r="F26" s="38" t="n">
        <x:v>31757.75</x:v>
      </x:c>
      <x:c r="G26" s="42" t="n">
        <x:v>2890.45</x:v>
      </x:c>
    </x:row>
    <x:row r="27" ht="22" customHeight="1">
      <x:c r="A27" s="36" t="n">
        <x:v>5</x:v>
      </x:c>
      <x:c r="B27" s="38" t="n">
        <x:v>46239.75</x:v>
      </x:c>
      <x:c r="C27" s="30" t="str">
        <x:v>L050826005</x:v>
      </x:c>
      <x:c r="D27" s="46" t="str">
        <x:v>Paciente Ejemplo Quince</x:v>
      </x:c>
      <x:c r="E27" s="46" t="str">
        <x:v>Dr. Andres Paredes</x:v>
      </x:c>
      <x:c r="F27" s="38" t="n">
        <x:v>27846.75</x:v>
      </x:c>
      <x:c r="G27" s="42" t="n">
        <x:v>4055</x:v>
      </x:c>
    </x:row>
    <x:row r="28" ht="22" customHeight="1">
      <x:c r="A28" s="35"/>
      <x:c r="B28" s="37" t="n">
        <x:v>46242.75</x:v>
      </x:c>
      <x:c r="C28" s="33"/>
      <x:c r="D28" s="44" t="str">
        <x:f>COUNTA(D29:D31)&amp;IF(COUNTA(D29:D31)=1," mezcla"," mezclas")</x:f>
        <x:v>3 mezclas</x:v>
      </x:c>
      <x:c r="E28" s="45"/>
      <x:c r="F28" s="39"/>
      <x:c r="G28" s="41" t="n">
        <x:f>SUM(G29:G31)</x:f>
        <x:v>9586.849999999999</x:v>
      </x:c>
    </x:row>
    <x:row r="29" ht="22" customHeight="1">
      <x:c r="A29" s="36" t="n">
        <x:v>1</x:v>
      </x:c>
      <x:c r="B29" s="38" t="n">
        <x:v>46242.75</x:v>
      </x:c>
      <x:c r="C29" s="30" t="str">
        <x:v>L080826001</x:v>
      </x:c>
      <x:c r="D29" s="46" t="str">
        <x:v>Paciente Ejemplo Dieciseis</x:v>
      </x:c>
      <x:c r="E29" s="46" t="str">
        <x:v>Dra. Laura Medina</x:v>
      </x:c>
      <x:c r="F29" s="38" t="n">
        <x:v>30502.75</x:v>
      </x:c>
      <x:c r="G29" s="42" t="n">
        <x:v>3340.25</x:v>
      </x:c>
    </x:row>
    <x:row r="30" ht="22" customHeight="1">
      <x:c r="A30" s="36" t="n">
        <x:v>2</x:v>
      </x:c>
      <x:c r="B30" s="38" t="n">
        <x:v>46242.75</x:v>
      </x:c>
      <x:c r="C30" s="30" t="str">
        <x:v>L080826002</x:v>
      </x:c>
      <x:c r="D30" s="46" t="str">
        <x:v>Paciente Ejemplo Diecisiete</x:v>
      </x:c>
      <x:c r="E30" s="46" t="str">
        <x:v>Dra. Laura Medina</x:v>
      </x:c>
      <x:c r="F30" s="38" t="n">
        <x:v>34443.75</x:v>
      </x:c>
      <x:c r="G30" s="42" t="n">
        <x:v>2765.9</x:v>
      </x:c>
    </x:row>
    <x:row r="31" ht="22" customHeight="1">
      <x:c r="A31" s="36" t="n">
        <x:v>3</x:v>
      </x:c>
      <x:c r="B31" s="38" t="n">
        <x:v>46242.75</x:v>
      </x:c>
      <x:c r="C31" s="30" t="str">
        <x:v>L080826003</x:v>
      </x:c>
      <x:c r="D31" s="46" t="str">
        <x:v>Paciente Ejemplo Dieciocho</x:v>
      </x:c>
      <x:c r="E31" s="46" t="str">
        <x:v>Dr. Ivan Cortes</x:v>
      </x:c>
      <x:c r="F31" s="38" t="n">
        <x:v>32547.75</x:v>
      </x:c>
      <x:c r="G31" s="42" t="n">
        <x:v>3480.7</x:v>
      </x:c>
    </x:row>
    <x:row r="32">
      <x:c r="D32" s="47"/>
      <x:c r="E32" s="47"/>
    </x:row>
    <x:row r="33">
      <x:c r="D33" s="47"/>
      <x:c r="E33" s="47"/>
    </x:row>
    <x:row r="34">
      <x:c r="D34" s="47"/>
      <x:c r="E34" s="47"/>
    </x:row>
    <x:row r="35">
      <x:c r="D35" s="47"/>
      <x:c r="E35" s="47"/>
    </x:row>
    <x:row r="36">
      <x:c r="D36" s="47"/>
      <x:c r="E36" s="47"/>
    </x:row>
    <x:row r="37">
      <x:c r="D37" s="47"/>
      <x:c r="E37" s="47"/>
    </x:row>
    <x:row r="38">
      <x:c r="D38" s="47"/>
      <x:c r="E38" s="47"/>
    </x:row>
    <x:row r="39">
      <x:c r="D39" s="47"/>
      <x:c r="E39" s="47"/>
    </x:row>
    <x:row r="40">
      <x:c r="D40" s="47"/>
      <x:c r="E40" s="47"/>
    </x:row>
    <x:row r="41">
      <x:c r="D41" s="47"/>
      <x:c r="E41" s="47"/>
    </x:row>
    <x:row r="42">
      <x:c r="D42" s="47"/>
      <x:c r="E42" s="47"/>
    </x:row>
    <x:row r="43">
      <x:c r="D43" s="47"/>
      <x:c r="E43" s="47"/>
    </x:row>
    <x:row r="44">
      <x:c r="D44" s="47"/>
      <x:c r="E44" s="47"/>
    </x:row>
    <x:row r="45">
      <x:c r="D45" s="47"/>
      <x:c r="E45" s="47"/>
    </x:row>
    <x:row r="46">
      <x:c r="D46" s="47"/>
      <x:c r="E46" s="47"/>
    </x:row>
    <x:row r="47">
      <x:c r="D47" s="47"/>
      <x:c r="E47" s="47"/>
    </x:row>
    <x:row r="48">
      <x:c r="D48" s="47"/>
      <x:c r="E48" s="47"/>
    </x:row>
    <x:row r="49">
      <x:c r="D49" s="47"/>
      <x:c r="E49" s="47"/>
    </x:row>
    <x:row r="50">
      <x:c r="D50" s="47"/>
      <x:c r="E50" s="47"/>
    </x:row>
    <x:row r="51">
      <x:c r="D51" s="47"/>
      <x:c r="E51" s="47"/>
    </x:row>
    <x:row r="52">
      <x:c r="D52" s="47"/>
      <x:c r="E52" s="47"/>
    </x:row>
    <x:row r="53">
      <x:c r="D53" s="47"/>
      <x:c r="E53" s="47"/>
    </x:row>
    <x:row r="54">
      <x:c r="D54" s="47"/>
      <x:c r="E54" s="47"/>
    </x:row>
    <x:row r="55">
      <x:c r="D55" s="47"/>
      <x:c r="E55" s="47"/>
    </x:row>
    <x:row r="56">
      <x:c r="D56" s="47"/>
      <x:c r="E56" s="47"/>
    </x:row>
    <x:row r="57">
      <x:c r="D57" s="47"/>
      <x:c r="E57" s="47"/>
    </x:row>
    <x:row r="58">
      <x:c r="D58" s="47"/>
      <x:c r="E58" s="47"/>
    </x:row>
    <x:row r="59">
      <x:c r="D59" s="47"/>
      <x:c r="E59" s="47"/>
    </x:row>
    <x:row r="60">
      <x:c r="D60" s="47"/>
      <x:c r="E60" s="47"/>
    </x:row>
    <x:row r="61">
      <x:c r="D61" s="47"/>
      <x:c r="E61" s="47"/>
    </x:row>
    <x:row r="62">
      <x:c r="D62" s="47"/>
      <x:c r="E62" s="47"/>
    </x:row>
    <x:row r="63">
      <x:c r="D63" s="47"/>
      <x:c r="E63" s="47"/>
    </x:row>
    <x:row r="64">
      <x:c r="D64" s="47"/>
      <x:c r="E64" s="47"/>
    </x:row>
    <x:row r="65">
      <x:c r="D65" s="47"/>
      <x:c r="E65" s="47"/>
    </x:row>
    <x:row r="66">
      <x:c r="D66" s="47"/>
      <x:c r="E66" s="47"/>
    </x:row>
    <x:row r="67">
      <x:c r="D67" s="47"/>
      <x:c r="E67" s="47"/>
    </x:row>
    <x:row r="68">
      <x:c r="D68" s="47"/>
      <x:c r="E68" s="47"/>
    </x:row>
    <x:row r="69">
      <x:c r="D69" s="47"/>
      <x:c r="E69" s="47"/>
    </x:row>
    <x:row r="70">
      <x:c r="D70" s="47"/>
      <x:c r="E70" s="47"/>
    </x:row>
    <x:row r="71">
      <x:c r="D71" s="47"/>
      <x:c r="E71" s="47"/>
    </x:row>
    <x:row r="72">
      <x:c r="D72" s="47"/>
      <x:c r="E72" s="47"/>
    </x:row>
    <x:row r="73">
      <x:c r="D73" s="47"/>
      <x:c r="E73" s="47"/>
    </x:row>
    <x:row r="74">
      <x:c r="D74" s="47"/>
      <x:c r="E74" s="47"/>
    </x:row>
    <x:row r="75">
      <x:c r="D75" s="47"/>
      <x:c r="E75" s="47"/>
    </x:row>
    <x:row r="76">
      <x:c r="D76" s="47"/>
      <x:c r="E76" s="47"/>
    </x:row>
    <x:row r="77">
      <x:c r="D77" s="47"/>
      <x:c r="E77" s="47"/>
    </x:row>
    <x:row r="78">
      <x:c r="D78" s="47"/>
      <x:c r="E78" s="47"/>
    </x:row>
    <x:row r="79">
      <x:c r="D79" s="47"/>
      <x:c r="E79" s="47"/>
    </x:row>
    <x:row r="80">
      <x:c r="D80" s="47"/>
      <x:c r="E80" s="47"/>
    </x:row>
    <x:row r="81">
      <x:c r="D81" s="47"/>
      <x:c r="E81" s="47"/>
    </x:row>
    <x:row r="82">
      <x:c r="D82" s="47"/>
      <x:c r="E82" s="47"/>
    </x:row>
    <x:row r="83">
      <x:c r="D83" s="47"/>
      <x:c r="E83" s="47"/>
    </x:row>
    <x:row r="84">
      <x:c r="D84" s="47"/>
      <x:c r="E84" s="47"/>
    </x:row>
    <x:row r="85">
      <x:c r="D85" s="47"/>
      <x:c r="E85" s="47"/>
    </x:row>
    <x:row r="86">
      <x:c r="D86" s="47"/>
      <x:c r="E86" s="47"/>
    </x:row>
    <x:row r="87">
      <x:c r="D87" s="47"/>
      <x:c r="E87" s="47"/>
    </x:row>
    <x:row r="88">
      <x:c r="D88" s="47"/>
      <x:c r="E88" s="47"/>
    </x:row>
    <x:row r="89">
      <x:c r="D89" s="47"/>
      <x:c r="E89" s="47"/>
    </x:row>
    <x:row r="90">
      <x:c r="D90" s="47"/>
      <x:c r="E90" s="47"/>
    </x:row>
    <x:row r="91">
      <x:c r="D91" s="47"/>
      <x:c r="E91" s="47"/>
    </x:row>
    <x:row r="92">
      <x:c r="D92" s="47"/>
      <x:c r="E92" s="47"/>
    </x:row>
    <x:row r="93">
      <x:c r="D93" s="47"/>
      <x:c r="E93" s="47"/>
    </x:row>
    <x:row r="94">
      <x:c r="D94" s="47"/>
      <x:c r="E94" s="47"/>
    </x:row>
    <x:row r="95">
      <x:c r="D95" s="47"/>
      <x:c r="E95" s="47"/>
    </x:row>
    <x:row r="96">
      <x:c r="D96" s="47"/>
      <x:c r="E96" s="47"/>
    </x:row>
    <x:row r="97">
      <x:c r="D97" s="47"/>
      <x:c r="E97" s="47"/>
    </x:row>
    <x:row r="98">
      <x:c r="D98" s="47"/>
      <x:c r="E98" s="47"/>
    </x:row>
    <x:row r="99">
      <x:c r="D99" s="47"/>
      <x:c r="E99" s="47"/>
    </x:row>
    <x:row r="100">
      <x:c r="D100" s="47"/>
      <x:c r="E100" s="47"/>
    </x:row>
  </x:sheetData>
  <x:mergeCells>
    <x:mergeCell ref="A1:G1"/>
    <x:mergeCell ref="A2:G2"/>
    <x:mergeCell ref="A3:G3"/>
  </x:mergeCells>
  <x:pageMargins left="0.7" right="0.7" top="0.75" bottom="0.75" header="0.3" footer="0.3"/>
</x:worksheet>
</file>